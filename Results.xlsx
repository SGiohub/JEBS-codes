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brina G\Desktop\file R per lavoro ColombiGiordanoTutz\"/>
    </mc:Choice>
  </mc:AlternateContent>
  <xr:revisionPtr revIDLastSave="0" documentId="13_ncr:1_{E8DE801E-68B1-4E48-A186-B7C9A56EE24F}" xr6:coauthVersionLast="47" xr6:coauthVersionMax="47" xr10:uidLastSave="{00000000-0000-0000-0000-000000000000}"/>
  <bookViews>
    <workbookView xWindow="-98" yWindow="-98" windowWidth="28996" windowHeight="15675" firstSheet="1" activeTab="1" xr2:uid="{00000000-000D-0000-FFFF-FFFF00000000}"/>
  </bookViews>
  <sheets>
    <sheet name="e2_e5_tutz0_latind" sheetId="1" r:id="rId1"/>
    <sheet name="parameters_all_obs" sheetId="2" r:id="rId2"/>
    <sheet name="parameters for latent compon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2" l="1"/>
  <c r="I11" i="2"/>
  <c r="E3" i="3"/>
  <c r="D3" i="3"/>
  <c r="C3" i="3"/>
  <c r="B3" i="3"/>
  <c r="C7" i="3"/>
  <c r="I26" i="2" l="1"/>
  <c r="J11" i="2"/>
  <c r="J5" i="2"/>
  <c r="J6" i="2" s="1"/>
  <c r="M32" i="2"/>
  <c r="J26" i="2"/>
  <c r="I5" i="2"/>
  <c r="M26" i="2"/>
  <c r="K11" i="2"/>
  <c r="M5" i="2"/>
  <c r="M8" i="2" s="1"/>
  <c r="M19" i="2" s="1"/>
  <c r="L5" i="2"/>
  <c r="K5" i="2"/>
  <c r="I8" i="2"/>
  <c r="I7" i="2"/>
  <c r="B4" i="3"/>
  <c r="B5" i="3" s="1"/>
  <c r="B11" i="3" s="1"/>
  <c r="E7" i="3"/>
  <c r="E8" i="3" s="1"/>
  <c r="E9" i="3" s="1"/>
  <c r="E12" i="3" s="1"/>
  <c r="D7" i="3"/>
  <c r="C8" i="3"/>
  <c r="B7" i="3"/>
  <c r="B8" i="3" s="1"/>
  <c r="B9" i="3" s="1"/>
  <c r="E4" i="3"/>
  <c r="D4" i="3"/>
  <c r="D5" i="3" s="1"/>
  <c r="D11" i="3" s="1"/>
  <c r="C4" i="3"/>
  <c r="C5" i="3" s="1"/>
  <c r="C11" i="3" s="1"/>
  <c r="E11" i="3" l="1"/>
  <c r="E5" i="3"/>
  <c r="M6" i="2"/>
  <c r="I6" i="2"/>
  <c r="D8" i="3"/>
  <c r="D9" i="3" s="1"/>
  <c r="D12" i="3" s="1"/>
  <c r="B12" i="3"/>
  <c r="C9" i="3"/>
  <c r="C12" i="3" s="1"/>
  <c r="J32" i="2"/>
  <c r="I32" i="2"/>
  <c r="I37" i="2" s="1"/>
  <c r="I16" i="2" l="1"/>
  <c r="M11" i="2"/>
  <c r="L11" i="2"/>
  <c r="L32" i="2"/>
  <c r="K32" i="2"/>
  <c r="K7" i="2"/>
  <c r="M37" i="2" l="1"/>
  <c r="I19" i="2"/>
  <c r="I18" i="2"/>
  <c r="I17" i="2"/>
  <c r="K18" i="2"/>
  <c r="M17" i="2"/>
  <c r="L16" i="2"/>
  <c r="K16" i="2"/>
  <c r="M16" i="2"/>
  <c r="I27" i="2"/>
  <c r="K26" i="2"/>
  <c r="K37" i="2" s="1"/>
  <c r="J37" i="2"/>
  <c r="L8" i="2"/>
  <c r="L19" i="2" s="1"/>
  <c r="M7" i="2"/>
  <c r="M18" i="2" s="1"/>
  <c r="J7" i="2"/>
  <c r="J18" i="2" s="1"/>
  <c r="J17" i="2"/>
  <c r="L7" i="2"/>
  <c r="L18" i="2" s="1"/>
  <c r="K8" i="2"/>
  <c r="K19" i="2" s="1"/>
  <c r="J8" i="2"/>
  <c r="J19" i="2" s="1"/>
  <c r="K5" i="1"/>
  <c r="L27" i="2" l="1"/>
  <c r="L38" i="2" s="1"/>
  <c r="I38" i="2"/>
  <c r="I28" i="2"/>
  <c r="J27" i="2"/>
  <c r="J38" i="2" s="1"/>
  <c r="L6" i="2"/>
  <c r="L17" i="2" s="1"/>
  <c r="L26" i="2"/>
  <c r="L37" i="2" s="1"/>
  <c r="K27" i="2"/>
  <c r="K38" i="2" s="1"/>
  <c r="J28" i="2"/>
  <c r="J39" i="2" s="1"/>
  <c r="I29" i="2"/>
  <c r="I40" i="2" s="1"/>
  <c r="M27" i="2"/>
  <c r="M38" i="2" s="1"/>
  <c r="K6" i="2"/>
  <c r="K17" i="2" s="1"/>
  <c r="M28" i="2"/>
  <c r="M39" i="2" s="1"/>
  <c r="K26" i="1"/>
  <c r="K29" i="1" s="1"/>
  <c r="K32" i="1"/>
  <c r="K37" i="1" s="1"/>
  <c r="M37" i="1"/>
  <c r="L37" i="1"/>
  <c r="L32" i="1"/>
  <c r="O32" i="1"/>
  <c r="N32" i="1"/>
  <c r="M32" i="1"/>
  <c r="M26" i="1"/>
  <c r="L26" i="1"/>
  <c r="L5" i="1"/>
  <c r="K6" i="1"/>
  <c r="K7" i="1"/>
  <c r="K18" i="1"/>
  <c r="K17" i="1"/>
  <c r="K16" i="1"/>
  <c r="O16" i="1"/>
  <c r="L16" i="1"/>
  <c r="L11" i="1"/>
  <c r="K11" i="1"/>
  <c r="O11" i="1"/>
  <c r="N11" i="1"/>
  <c r="M11" i="1"/>
  <c r="L6" i="1"/>
  <c r="L17" i="1" s="1"/>
  <c r="K8" i="1"/>
  <c r="K19" i="1" s="1"/>
  <c r="L8" i="1"/>
  <c r="L19" i="1" s="1"/>
  <c r="L7" i="1"/>
  <c r="L18" i="1" s="1"/>
  <c r="O5" i="1"/>
  <c r="O8" i="1" s="1"/>
  <c r="O19" i="1" s="1"/>
  <c r="N5" i="1"/>
  <c r="N8" i="1" s="1"/>
  <c r="N19" i="1" s="1"/>
  <c r="M5" i="1"/>
  <c r="M16" i="1" s="1"/>
  <c r="M29" i="1" l="1"/>
  <c r="M40" i="1" s="1"/>
  <c r="K40" i="1"/>
  <c r="L29" i="1"/>
  <c r="L40" i="1" s="1"/>
  <c r="N29" i="1"/>
  <c r="N40" i="1" s="1"/>
  <c r="O29" i="1"/>
  <c r="O40" i="1" s="1"/>
  <c r="M6" i="1"/>
  <c r="M17" i="1" s="1"/>
  <c r="N7" i="1"/>
  <c r="N18" i="1" s="1"/>
  <c r="K28" i="1"/>
  <c r="K27" i="1"/>
  <c r="O6" i="1"/>
  <c r="O17" i="1" s="1"/>
  <c r="M7" i="1"/>
  <c r="M18" i="1" s="1"/>
  <c r="O7" i="1"/>
  <c r="O18" i="1" s="1"/>
  <c r="M8" i="1"/>
  <c r="M19" i="1" s="1"/>
  <c r="I39" i="2"/>
  <c r="L28" i="2"/>
  <c r="L39" i="2" s="1"/>
  <c r="K28" i="2"/>
  <c r="K39" i="2" s="1"/>
  <c r="O26" i="1"/>
  <c r="O37" i="1" s="1"/>
  <c r="N6" i="1"/>
  <c r="N17" i="1" s="1"/>
  <c r="N16" i="1"/>
  <c r="N26" i="1"/>
  <c r="N37" i="1" s="1"/>
  <c r="J29" i="2"/>
  <c r="J40" i="2" s="1"/>
  <c r="M29" i="2"/>
  <c r="M40" i="2" s="1"/>
  <c r="L29" i="2"/>
  <c r="L40" i="2" s="1"/>
  <c r="K29" i="2"/>
  <c r="K40" i="2" s="1"/>
  <c r="K38" i="1" l="1"/>
  <c r="O27" i="1"/>
  <c r="O38" i="1" s="1"/>
  <c r="M27" i="1"/>
  <c r="M38" i="1" s="1"/>
  <c r="N27" i="1"/>
  <c r="N38" i="1" s="1"/>
  <c r="L27" i="1"/>
  <c r="L38" i="1" s="1"/>
  <c r="K39" i="1"/>
  <c r="L28" i="1"/>
  <c r="L39" i="1" s="1"/>
  <c r="O28" i="1"/>
  <c r="O39" i="1" s="1"/>
  <c r="N28" i="1"/>
  <c r="N39" i="1" s="1"/>
  <c r="M28" i="1"/>
  <c r="M39" i="1" s="1"/>
</calcChain>
</file>

<file path=xl/sharedStrings.xml><?xml version="1.0" encoding="utf-8"?>
<sst xmlns="http://schemas.openxmlformats.org/spreadsheetml/2006/main" count="188" uniqueCount="88">
  <si>
    <t>#</t>
  </si>
  <si>
    <t>MLE</t>
  </si>
  <si>
    <t>S.E.</t>
  </si>
  <si>
    <t>Z</t>
  </si>
  <si>
    <t>P</t>
  </si>
  <si>
    <t>(Intercept)</t>
  </si>
  <si>
    <t>G1</t>
  </si>
  <si>
    <t>C1</t>
  </si>
  <si>
    <t>phi1</t>
  </si>
  <si>
    <t>LA1</t>
  </si>
  <si>
    <t>P2</t>
  </si>
  <si>
    <t>P3</t>
  </si>
  <si>
    <t>P4</t>
  </si>
  <si>
    <t>P5</t>
  </si>
  <si>
    <t>LA1:P2</t>
  </si>
  <si>
    <t>LA1:P3</t>
  </si>
  <si>
    <t>LA1:P4</t>
  </si>
  <si>
    <t>LA1:P5</t>
  </si>
  <si>
    <t>LA1:R12</t>
  </si>
  <si>
    <t>LA1:R13</t>
  </si>
  <si>
    <t>LA1:R14</t>
  </si>
  <si>
    <t>LB1</t>
  </si>
  <si>
    <t>LB1:P2</t>
  </si>
  <si>
    <t>LB1:P3</t>
  </si>
  <si>
    <t>LB1:P4</t>
  </si>
  <si>
    <t>LB1:P5</t>
  </si>
  <si>
    <t>LB1:R22</t>
  </si>
  <si>
    <t>LB1:R23</t>
  </si>
  <si>
    <t>LB1:R24</t>
  </si>
  <si>
    <t>ass00</t>
  </si>
  <si>
    <t>ass10</t>
  </si>
  <si>
    <t>ass01</t>
  </si>
  <si>
    <t>ass11</t>
  </si>
  <si>
    <t>SREP</t>
  </si>
  <si>
    <t>NREP</t>
  </si>
  <si>
    <t>IND</t>
  </si>
  <si>
    <t>NDEM</t>
  </si>
  <si>
    <t>SDEM</t>
  </si>
  <si>
    <t>phi za</t>
  </si>
  <si>
    <t>logit AWA</t>
  </si>
  <si>
    <t>logit RS</t>
  </si>
  <si>
    <t>domanda E2</t>
  </si>
  <si>
    <t xml:space="preserve">domanda E5 </t>
  </si>
  <si>
    <t>U1</t>
  </si>
  <si>
    <t>logit</t>
  </si>
  <si>
    <t>exp</t>
  </si>
  <si>
    <t>prob(U = 1)</t>
  </si>
  <si>
    <t>U2</t>
  </si>
  <si>
    <t>p(U1=0)</t>
  </si>
  <si>
    <t>p(U2=0)</t>
  </si>
  <si>
    <t>B,L</t>
  </si>
  <si>
    <t>B,H</t>
  </si>
  <si>
    <t>W,L</t>
  </si>
  <si>
    <t>W,H</t>
  </si>
  <si>
    <t>alpha0</t>
  </si>
  <si>
    <t>alpfaNR</t>
  </si>
  <si>
    <t>alphaI</t>
  </si>
  <si>
    <t>alphaND</t>
  </si>
  <si>
    <t>alphaSD</t>
  </si>
  <si>
    <t>beta0</t>
  </si>
  <si>
    <t>betaNR</t>
  </si>
  <si>
    <t>betaI</t>
  </si>
  <si>
    <t>betaND</t>
  </si>
  <si>
    <t>betaSD</t>
  </si>
  <si>
    <t>domanda E2 -- response R1</t>
  </si>
  <si>
    <t>domanda E5 -- response R2</t>
  </si>
  <si>
    <t>parameters for logit model content driven Eq 17</t>
  </si>
  <si>
    <t>logit content driven</t>
  </si>
  <si>
    <t>alpha</t>
  </si>
  <si>
    <t>logit EMRS</t>
  </si>
  <si>
    <t>parameters for logit model EMRS Eq 16</t>
  </si>
  <si>
    <t>latent (see other sheet)</t>
  </si>
  <si>
    <t>association parameters</t>
  </si>
  <si>
    <t>RC1</t>
  </si>
  <si>
    <t>ED1</t>
  </si>
  <si>
    <t>PO2</t>
  </si>
  <si>
    <t>PO3</t>
  </si>
  <si>
    <t>PO4</t>
  </si>
  <si>
    <t>PO5</t>
  </si>
  <si>
    <t>LA1:PO2</t>
  </si>
  <si>
    <t>LA1:PO3</t>
  </si>
  <si>
    <t>LA1:PO4</t>
  </si>
  <si>
    <t>LA1:PO5</t>
  </si>
  <si>
    <t>LB1:PO2</t>
  </si>
  <si>
    <t>LB1:PO3</t>
  </si>
  <si>
    <t>LB1:PO4</t>
  </si>
  <si>
    <t>LB1:PO5</t>
  </si>
  <si>
    <t>association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</si>
</sst>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rgb="FF000000"/>
      <name val="Lucida Console"/>
      <family val="3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rgb="FF000000"/>
      <name val="Lucida Console"/>
      <family val="3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0" applyFont="1"/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8" borderId="0" xfId="0" applyFill="1"/>
    <xf numFmtId="0" fontId="0" fillId="9" borderId="0" xfId="0" applyFill="1"/>
    <xf numFmtId="164" fontId="0" fillId="0" borderId="0" xfId="0" applyNumberFormat="1"/>
    <xf numFmtId="0" fontId="0" fillId="0" borderId="0" xfId="0" applyFill="1"/>
    <xf numFmtId="164" fontId="3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5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0" fillId="1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41"/>
  <sheetViews>
    <sheetView workbookViewId="0">
      <selection activeCell="I2" sqref="I2:O40"/>
    </sheetView>
  </sheetViews>
  <sheetFormatPr defaultRowHeight="14.25" x14ac:dyDescent="0.45"/>
  <cols>
    <col min="1" max="1" width="13.1328125" customWidth="1"/>
  </cols>
  <sheetData>
    <row r="2" spans="1:15" ht="18" x14ac:dyDescent="0.55000000000000004">
      <c r="J2" s="6" t="s">
        <v>41</v>
      </c>
    </row>
    <row r="3" spans="1:15" x14ac:dyDescent="0.45">
      <c r="L3" t="s">
        <v>10</v>
      </c>
      <c r="M3" t="s">
        <v>11</v>
      </c>
      <c r="N3" t="s">
        <v>12</v>
      </c>
      <c r="O3" t="s">
        <v>13</v>
      </c>
    </row>
    <row r="4" spans="1:15" x14ac:dyDescent="0.45">
      <c r="K4" s="2" t="s">
        <v>33</v>
      </c>
      <c r="L4" t="s">
        <v>34</v>
      </c>
      <c r="M4" t="s">
        <v>35</v>
      </c>
      <c r="N4" t="s">
        <v>36</v>
      </c>
      <c r="O4" t="s">
        <v>37</v>
      </c>
    </row>
    <row r="5" spans="1:15" x14ac:dyDescent="0.45">
      <c r="B5" t="s">
        <v>0</v>
      </c>
      <c r="C5" t="s">
        <v>1</v>
      </c>
      <c r="D5" t="s">
        <v>2</v>
      </c>
      <c r="E5" t="s">
        <v>3</v>
      </c>
      <c r="F5" t="s">
        <v>4</v>
      </c>
      <c r="I5" t="s">
        <v>39</v>
      </c>
      <c r="J5">
        <v>1</v>
      </c>
      <c r="K5">
        <f>C13</f>
        <v>0.85519999999999996</v>
      </c>
      <c r="L5">
        <f xml:space="preserve"> C13+C18</f>
        <v>0.75319999999999998</v>
      </c>
      <c r="M5">
        <f>C13+C19</f>
        <v>0.55599999999999994</v>
      </c>
      <c r="N5">
        <f>C13+C20</f>
        <v>0.52210000000000001</v>
      </c>
      <c r="O5">
        <f>C13+C21</f>
        <v>0.45909999999999995</v>
      </c>
    </row>
    <row r="6" spans="1:15" x14ac:dyDescent="0.45">
      <c r="A6" s="1" t="s">
        <v>5</v>
      </c>
      <c r="B6" s="1">
        <v>1</v>
      </c>
      <c r="C6" s="1">
        <v>-1.6780999999999999</v>
      </c>
      <c r="D6" s="1">
        <v>0.2165</v>
      </c>
      <c r="E6" s="1">
        <v>-7.7525000000000004</v>
      </c>
      <c r="F6" s="1">
        <v>0</v>
      </c>
      <c r="J6">
        <v>2</v>
      </c>
      <c r="K6">
        <f>K5+$C$22</f>
        <v>-0.81350000000000011</v>
      </c>
      <c r="L6">
        <f>L5+$C$22</f>
        <v>-0.91550000000000009</v>
      </c>
      <c r="M6">
        <f>M5+$C$22</f>
        <v>-1.1127000000000002</v>
      </c>
      <c r="N6">
        <f>N5+$C$22</f>
        <v>-1.1466000000000001</v>
      </c>
      <c r="O6">
        <f>O5+$C$22</f>
        <v>-1.2096</v>
      </c>
    </row>
    <row r="7" spans="1:15" x14ac:dyDescent="0.45">
      <c r="A7" s="1" t="s">
        <v>6</v>
      </c>
      <c r="B7" s="1">
        <v>2</v>
      </c>
      <c r="C7" s="1">
        <v>0.44629999999999997</v>
      </c>
      <c r="D7" s="1">
        <v>6.7199999999999996E-2</v>
      </c>
      <c r="E7" s="1">
        <v>6.6417999999999999</v>
      </c>
      <c r="F7" s="1">
        <v>0</v>
      </c>
      <c r="J7">
        <v>3</v>
      </c>
      <c r="K7">
        <f>K5+$C$23</f>
        <v>2.2972000000000001</v>
      </c>
      <c r="L7">
        <f>L5+$C$23</f>
        <v>2.1951999999999998</v>
      </c>
      <c r="M7">
        <f>M5+$C$23</f>
        <v>1.9979999999999998</v>
      </c>
      <c r="N7">
        <f>N5+$C$23</f>
        <v>1.9641</v>
      </c>
      <c r="O7">
        <f>O5+$C$23</f>
        <v>1.9011</v>
      </c>
    </row>
    <row r="8" spans="1:15" x14ac:dyDescent="0.45">
      <c r="A8" s="1" t="s">
        <v>7</v>
      </c>
      <c r="B8" s="1">
        <v>3</v>
      </c>
      <c r="C8" s="1">
        <v>0.16869999999999999</v>
      </c>
      <c r="D8" s="1">
        <v>6.25E-2</v>
      </c>
      <c r="E8" s="1">
        <v>2.6987999999999999</v>
      </c>
      <c r="F8" s="1">
        <v>7.0000000000000001E-3</v>
      </c>
      <c r="J8">
        <v>4</v>
      </c>
      <c r="K8">
        <f>K5+$C$24</f>
        <v>5.2899999999999947E-2</v>
      </c>
      <c r="L8">
        <f>L5+$C$24</f>
        <v>-4.9100000000000033E-2</v>
      </c>
      <c r="M8">
        <f>M5+$C$24</f>
        <v>-0.24630000000000007</v>
      </c>
      <c r="N8">
        <f t="shared" ref="N8:O8" si="0">N5+$C$24</f>
        <v>-0.2802</v>
      </c>
      <c r="O8">
        <f t="shared" si="0"/>
        <v>-0.34320000000000006</v>
      </c>
    </row>
    <row r="9" spans="1:15" x14ac:dyDescent="0.45">
      <c r="A9" s="1" t="s">
        <v>5</v>
      </c>
      <c r="B9" s="1">
        <v>4</v>
      </c>
      <c r="C9" s="1">
        <v>0.12740000000000001</v>
      </c>
      <c r="D9" s="1">
        <v>0.1041</v>
      </c>
      <c r="E9" s="1">
        <v>1.2237</v>
      </c>
      <c r="F9" s="1">
        <v>0.22109999999999999</v>
      </c>
    </row>
    <row r="10" spans="1:15" x14ac:dyDescent="0.45">
      <c r="A10" s="1" t="s">
        <v>6</v>
      </c>
      <c r="B10" s="1">
        <v>5</v>
      </c>
      <c r="C10" s="1">
        <v>-0.24399999999999999</v>
      </c>
      <c r="D10" s="1">
        <v>5.11E-2</v>
      </c>
      <c r="E10" s="1">
        <v>-4.7716000000000003</v>
      </c>
      <c r="F10" s="1">
        <v>0</v>
      </c>
    </row>
    <row r="11" spans="1:15" x14ac:dyDescent="0.45">
      <c r="A11" s="1" t="s">
        <v>7</v>
      </c>
      <c r="B11" s="1">
        <v>6</v>
      </c>
      <c r="C11" s="1">
        <v>3.6799999999999999E-2</v>
      </c>
      <c r="D11" s="1">
        <v>4.7300000000000002E-2</v>
      </c>
      <c r="E11" s="1">
        <v>0.7772</v>
      </c>
      <c r="F11" s="1">
        <v>0.43709999999999999</v>
      </c>
      <c r="I11" t="s">
        <v>38</v>
      </c>
      <c r="J11">
        <v>1</v>
      </c>
      <c r="K11">
        <f>$C$12</f>
        <v>1.2799</v>
      </c>
      <c r="L11">
        <f>C12+C14</f>
        <v>1.4300999999999999</v>
      </c>
      <c r="M11">
        <f>C12+C15</f>
        <v>1.6446000000000001</v>
      </c>
      <c r="N11">
        <f>C12+C16</f>
        <v>1.3887</v>
      </c>
      <c r="O11">
        <f>C12+C17</f>
        <v>1.2207000000000001</v>
      </c>
    </row>
    <row r="12" spans="1:15" x14ac:dyDescent="0.45">
      <c r="A12" s="3" t="s">
        <v>8</v>
      </c>
      <c r="B12" s="3">
        <v>7</v>
      </c>
      <c r="C12" s="3">
        <v>1.2799</v>
      </c>
      <c r="D12" s="3">
        <v>0.20849999999999999</v>
      </c>
      <c r="E12" s="3">
        <v>6.1386000000000003</v>
      </c>
      <c r="F12" s="3">
        <v>0</v>
      </c>
      <c r="J12">
        <v>2</v>
      </c>
      <c r="K12">
        <v>1.2799</v>
      </c>
      <c r="L12">
        <v>1.4300999999999999</v>
      </c>
      <c r="M12">
        <v>1.6446000000000001</v>
      </c>
      <c r="N12">
        <v>1.3887</v>
      </c>
      <c r="O12">
        <v>1.2207000000000001</v>
      </c>
    </row>
    <row r="13" spans="1:15" x14ac:dyDescent="0.45">
      <c r="A13" s="5" t="s">
        <v>9</v>
      </c>
      <c r="B13" s="5">
        <v>8</v>
      </c>
      <c r="C13" s="5">
        <v>0.85519999999999996</v>
      </c>
      <c r="D13" s="5">
        <v>0.18770000000000001</v>
      </c>
      <c r="E13" s="5">
        <v>4.5548000000000002</v>
      </c>
      <c r="F13" s="5">
        <v>0</v>
      </c>
      <c r="J13">
        <v>3</v>
      </c>
      <c r="K13">
        <v>1.2799</v>
      </c>
      <c r="L13">
        <v>1.4300999999999999</v>
      </c>
      <c r="M13">
        <v>1.6446000000000001</v>
      </c>
      <c r="N13">
        <v>1.3887</v>
      </c>
      <c r="O13">
        <v>1.2207000000000001</v>
      </c>
    </row>
    <row r="14" spans="1:15" x14ac:dyDescent="0.45">
      <c r="A14" s="3" t="s">
        <v>10</v>
      </c>
      <c r="B14" s="3">
        <v>9</v>
      </c>
      <c r="C14" s="3">
        <v>0.1502</v>
      </c>
      <c r="D14" s="3">
        <v>3.3500000000000002E-2</v>
      </c>
      <c r="E14" s="3">
        <v>4.4865000000000004</v>
      </c>
      <c r="F14" s="3">
        <v>0</v>
      </c>
      <c r="J14">
        <v>4</v>
      </c>
      <c r="K14">
        <v>1.2799</v>
      </c>
      <c r="L14">
        <v>1.4300999999999999</v>
      </c>
      <c r="M14">
        <v>1.6446000000000001</v>
      </c>
      <c r="N14">
        <v>1.3887</v>
      </c>
      <c r="O14">
        <v>1.2207000000000001</v>
      </c>
    </row>
    <row r="15" spans="1:15" x14ac:dyDescent="0.45">
      <c r="A15" s="3" t="s">
        <v>11</v>
      </c>
      <c r="B15" s="3">
        <v>10</v>
      </c>
      <c r="C15" s="3">
        <v>0.36470000000000002</v>
      </c>
      <c r="D15" s="3">
        <v>3.4099999999999998E-2</v>
      </c>
      <c r="E15" s="3">
        <v>10.683</v>
      </c>
      <c r="F15" s="3">
        <v>0</v>
      </c>
    </row>
    <row r="16" spans="1:15" x14ac:dyDescent="0.45">
      <c r="A16" s="3" t="s">
        <v>12</v>
      </c>
      <c r="B16" s="3">
        <v>11</v>
      </c>
      <c r="C16" s="3">
        <v>0.10879999999999999</v>
      </c>
      <c r="D16" s="3">
        <v>3.27E-2</v>
      </c>
      <c r="E16" s="3">
        <v>3.3289</v>
      </c>
      <c r="F16" s="3">
        <v>8.9999999999999998E-4</v>
      </c>
      <c r="I16" t="s">
        <v>40</v>
      </c>
      <c r="J16">
        <v>1</v>
      </c>
      <c r="K16">
        <f>K5+K11</f>
        <v>2.1351</v>
      </c>
      <c r="L16">
        <f>L5+L11</f>
        <v>2.1833</v>
      </c>
      <c r="M16">
        <f t="shared" ref="M16:N16" si="1">M5+M11</f>
        <v>2.2006000000000001</v>
      </c>
      <c r="N16">
        <f t="shared" si="1"/>
        <v>1.9108000000000001</v>
      </c>
      <c r="O16">
        <f>O5+O11</f>
        <v>1.6798000000000002</v>
      </c>
    </row>
    <row r="17" spans="1:15" x14ac:dyDescent="0.45">
      <c r="A17" s="3" t="s">
        <v>13</v>
      </c>
      <c r="B17" s="3">
        <v>12</v>
      </c>
      <c r="C17" s="3">
        <v>-5.9200000000000003E-2</v>
      </c>
      <c r="D17" s="3">
        <v>3.27E-2</v>
      </c>
      <c r="E17" s="3">
        <v>-1.8109</v>
      </c>
      <c r="F17" s="3">
        <v>7.0199999999999999E-2</v>
      </c>
      <c r="J17">
        <v>2</v>
      </c>
      <c r="K17">
        <f>K6+K12</f>
        <v>0.46639999999999993</v>
      </c>
      <c r="L17">
        <f t="shared" ref="L17:O17" si="2">L6+L12</f>
        <v>0.51459999999999984</v>
      </c>
      <c r="M17">
        <f t="shared" si="2"/>
        <v>0.53189999999999982</v>
      </c>
      <c r="N17">
        <f t="shared" si="2"/>
        <v>0.24209999999999998</v>
      </c>
      <c r="O17">
        <f t="shared" si="2"/>
        <v>1.110000000000011E-2</v>
      </c>
    </row>
    <row r="18" spans="1:15" x14ac:dyDescent="0.45">
      <c r="A18" s="5" t="s">
        <v>14</v>
      </c>
      <c r="B18" s="5">
        <v>13</v>
      </c>
      <c r="C18" s="5">
        <v>-0.10199999999999999</v>
      </c>
      <c r="D18" s="5">
        <v>1.6E-2</v>
      </c>
      <c r="E18" s="5">
        <v>-6.3952</v>
      </c>
      <c r="F18" s="5">
        <v>0</v>
      </c>
      <c r="J18">
        <v>3</v>
      </c>
      <c r="K18">
        <f>K7-K13</f>
        <v>1.0173000000000001</v>
      </c>
      <c r="L18">
        <f t="shared" ref="L18:O18" si="3">L7-L13</f>
        <v>0.76509999999999989</v>
      </c>
      <c r="M18">
        <f t="shared" si="3"/>
        <v>0.35339999999999971</v>
      </c>
      <c r="N18">
        <f t="shared" si="3"/>
        <v>0.57539999999999991</v>
      </c>
      <c r="O18">
        <f t="shared" si="3"/>
        <v>0.68039999999999989</v>
      </c>
    </row>
    <row r="19" spans="1:15" x14ac:dyDescent="0.45">
      <c r="A19" s="5" t="s">
        <v>15</v>
      </c>
      <c r="B19" s="5">
        <v>14</v>
      </c>
      <c r="C19" s="5">
        <v>-0.29920000000000002</v>
      </c>
      <c r="D19" s="5">
        <v>1.5299999999999999E-2</v>
      </c>
      <c r="E19" s="5">
        <v>-19.567</v>
      </c>
      <c r="F19" s="5">
        <v>0</v>
      </c>
      <c r="J19">
        <v>4</v>
      </c>
      <c r="K19">
        <f>K8-K14</f>
        <v>-1.2270000000000001</v>
      </c>
      <c r="L19">
        <f t="shared" ref="L19:O19" si="4">L8-L14</f>
        <v>-1.4792000000000001</v>
      </c>
      <c r="M19">
        <f t="shared" si="4"/>
        <v>-1.8909000000000002</v>
      </c>
      <c r="N19">
        <f t="shared" si="4"/>
        <v>-1.6689000000000001</v>
      </c>
      <c r="O19">
        <f t="shared" si="4"/>
        <v>-1.5639000000000003</v>
      </c>
    </row>
    <row r="20" spans="1:15" x14ac:dyDescent="0.45">
      <c r="A20" s="5" t="s">
        <v>16</v>
      </c>
      <c r="B20" s="5">
        <v>15</v>
      </c>
      <c r="C20" s="5">
        <v>-0.33310000000000001</v>
      </c>
      <c r="D20" s="5">
        <v>1.49E-2</v>
      </c>
      <c r="E20" s="5">
        <v>-22.3657</v>
      </c>
      <c r="F20" s="5">
        <v>0</v>
      </c>
    </row>
    <row r="21" spans="1:15" x14ac:dyDescent="0.45">
      <c r="A21" s="5" t="s">
        <v>17</v>
      </c>
      <c r="B21" s="5">
        <v>16</v>
      </c>
      <c r="C21" s="5">
        <v>-0.39610000000000001</v>
      </c>
      <c r="D21" s="5">
        <v>1.46E-2</v>
      </c>
      <c r="E21" s="5">
        <v>-27.213699999999999</v>
      </c>
      <c r="F21" s="5">
        <v>0</v>
      </c>
    </row>
    <row r="22" spans="1:15" x14ac:dyDescent="0.45">
      <c r="A22" t="s">
        <v>18</v>
      </c>
      <c r="B22">
        <v>17</v>
      </c>
      <c r="C22">
        <v>-1.6687000000000001</v>
      </c>
      <c r="D22">
        <v>6.0999999999999999E-2</v>
      </c>
      <c r="E22">
        <v>-27.356200000000001</v>
      </c>
      <c r="F22">
        <v>0</v>
      </c>
    </row>
    <row r="23" spans="1:15" ht="18" x14ac:dyDescent="0.55000000000000004">
      <c r="A23" t="s">
        <v>19</v>
      </c>
      <c r="B23">
        <v>18</v>
      </c>
      <c r="C23">
        <v>1.4419999999999999</v>
      </c>
      <c r="D23">
        <v>0.41470000000000001</v>
      </c>
      <c r="E23">
        <v>3.4777</v>
      </c>
      <c r="F23">
        <v>5.0000000000000001E-4</v>
      </c>
      <c r="J23" s="6" t="s">
        <v>42</v>
      </c>
    </row>
    <row r="24" spans="1:15" x14ac:dyDescent="0.45">
      <c r="A24" t="s">
        <v>20</v>
      </c>
      <c r="B24">
        <v>19</v>
      </c>
      <c r="C24">
        <v>-0.80230000000000001</v>
      </c>
      <c r="D24">
        <v>0.37309999999999999</v>
      </c>
      <c r="E24">
        <v>-2.1503999999999999</v>
      </c>
      <c r="F24">
        <v>3.15E-2</v>
      </c>
      <c r="L24" t="s">
        <v>10</v>
      </c>
      <c r="M24" t="s">
        <v>11</v>
      </c>
      <c r="N24" t="s">
        <v>12</v>
      </c>
      <c r="O24" t="s">
        <v>13</v>
      </c>
    </row>
    <row r="25" spans="1:15" x14ac:dyDescent="0.45">
      <c r="A25" s="3" t="s">
        <v>8</v>
      </c>
      <c r="B25" s="3">
        <v>20</v>
      </c>
      <c r="C25" s="3">
        <v>0.24079999999999999</v>
      </c>
      <c r="D25" s="3">
        <v>5.1900000000000002E-2</v>
      </c>
      <c r="E25" s="3">
        <v>4.6426999999999996</v>
      </c>
      <c r="F25" s="3">
        <v>0</v>
      </c>
      <c r="K25" s="2" t="s">
        <v>33</v>
      </c>
      <c r="L25" t="s">
        <v>34</v>
      </c>
      <c r="M25" t="s">
        <v>35</v>
      </c>
      <c r="N25" t="s">
        <v>36</v>
      </c>
      <c r="O25" t="s">
        <v>37</v>
      </c>
    </row>
    <row r="26" spans="1:15" x14ac:dyDescent="0.45">
      <c r="A26" s="5" t="s">
        <v>21</v>
      </c>
      <c r="B26" s="5">
        <v>21</v>
      </c>
      <c r="C26" s="5">
        <v>0.92989999999999995</v>
      </c>
      <c r="D26" s="5">
        <v>2.8799999999999999E-2</v>
      </c>
      <c r="E26" s="5">
        <v>32.297499999999999</v>
      </c>
      <c r="F26" s="5">
        <v>0</v>
      </c>
      <c r="I26" t="s">
        <v>39</v>
      </c>
      <c r="J26">
        <v>1</v>
      </c>
      <c r="K26">
        <f>C26</f>
        <v>0.92989999999999995</v>
      </c>
      <c r="L26">
        <f>K26+$C$31</f>
        <v>0.82029999999999992</v>
      </c>
      <c r="M26">
        <f>K26+$C$32</f>
        <v>0.81369999999999998</v>
      </c>
      <c r="N26">
        <f>K26+$C$33</f>
        <v>0.75099999999999989</v>
      </c>
      <c r="O26">
        <f>K26+$C$34</f>
        <v>0.73559999999999992</v>
      </c>
    </row>
    <row r="27" spans="1:15" x14ac:dyDescent="0.45">
      <c r="A27" s="3" t="s">
        <v>10</v>
      </c>
      <c r="B27" s="3">
        <v>22</v>
      </c>
      <c r="C27" s="3">
        <v>0.17929999999999999</v>
      </c>
      <c r="D27" s="3">
        <v>4.02E-2</v>
      </c>
      <c r="E27" s="3">
        <v>4.4607000000000001</v>
      </c>
      <c r="F27" s="3">
        <v>0</v>
      </c>
      <c r="J27">
        <v>2</v>
      </c>
      <c r="K27">
        <f>K26+$C$35</f>
        <v>-0.48140000000000005</v>
      </c>
      <c r="L27">
        <f>K27+$C$31</f>
        <v>-0.59100000000000008</v>
      </c>
      <c r="M27">
        <f>K27+$C$32</f>
        <v>-0.59760000000000002</v>
      </c>
      <c r="N27">
        <f>K27+$C$33</f>
        <v>-0.66030000000000011</v>
      </c>
      <c r="O27">
        <f>K27+$C$34</f>
        <v>-0.67570000000000008</v>
      </c>
    </row>
    <row r="28" spans="1:15" x14ac:dyDescent="0.45">
      <c r="A28" s="3" t="s">
        <v>11</v>
      </c>
      <c r="B28" s="3">
        <v>23</v>
      </c>
      <c r="C28" s="3">
        <v>0.36359999999999998</v>
      </c>
      <c r="D28" s="3">
        <v>4.3799999999999999E-2</v>
      </c>
      <c r="E28" s="3">
        <v>8.3064</v>
      </c>
      <c r="F28" s="3">
        <v>0</v>
      </c>
      <c r="J28">
        <v>3</v>
      </c>
      <c r="K28">
        <f>K26+$C$36</f>
        <v>0.55620000000000003</v>
      </c>
      <c r="L28">
        <f>K28+$C$31</f>
        <v>0.4466</v>
      </c>
      <c r="M28">
        <f>K28+$C$32</f>
        <v>0.44000000000000006</v>
      </c>
      <c r="N28">
        <f>K28+$C$33</f>
        <v>0.37730000000000002</v>
      </c>
      <c r="O28">
        <f>K28+$C$34</f>
        <v>0.3619</v>
      </c>
    </row>
    <row r="29" spans="1:15" x14ac:dyDescent="0.45">
      <c r="A29" s="3" t="s">
        <v>12</v>
      </c>
      <c r="B29" s="3">
        <v>24</v>
      </c>
      <c r="C29" s="3">
        <v>-6.3299999999999995E-2</v>
      </c>
      <c r="D29" s="3">
        <v>3.9300000000000002E-2</v>
      </c>
      <c r="E29" s="3">
        <v>-1.6102000000000001</v>
      </c>
      <c r="F29" s="3">
        <v>0.1074</v>
      </c>
      <c r="J29">
        <v>4</v>
      </c>
      <c r="K29">
        <f>K26+$C$37</f>
        <v>-0.37850000000000006</v>
      </c>
      <c r="L29">
        <f>K29+$C$31</f>
        <v>-0.48810000000000009</v>
      </c>
      <c r="M29">
        <f>K29+$C$32</f>
        <v>-0.49470000000000003</v>
      </c>
      <c r="N29">
        <f>K29+$C$33</f>
        <v>-0.55740000000000012</v>
      </c>
      <c r="O29">
        <f>K29+$C$34</f>
        <v>-0.57280000000000009</v>
      </c>
    </row>
    <row r="30" spans="1:15" x14ac:dyDescent="0.45">
      <c r="A30" s="3" t="s">
        <v>13</v>
      </c>
      <c r="B30" s="3">
        <v>25</v>
      </c>
      <c r="C30" s="3">
        <v>-0.2135</v>
      </c>
      <c r="D30" s="3">
        <v>4.07E-2</v>
      </c>
      <c r="E30" s="3">
        <v>-5.2484999999999999</v>
      </c>
      <c r="F30" s="3">
        <v>0</v>
      </c>
    </row>
    <row r="31" spans="1:15" x14ac:dyDescent="0.45">
      <c r="A31" s="5" t="s">
        <v>22</v>
      </c>
      <c r="B31" s="5">
        <v>26</v>
      </c>
      <c r="C31" s="5">
        <v>-0.1096</v>
      </c>
      <c r="D31" s="5">
        <v>1.0800000000000001E-2</v>
      </c>
      <c r="E31" s="5">
        <v>-10.1813</v>
      </c>
      <c r="F31" s="5">
        <v>0</v>
      </c>
    </row>
    <row r="32" spans="1:15" x14ac:dyDescent="0.45">
      <c r="A32" s="5" t="s">
        <v>23</v>
      </c>
      <c r="B32" s="5">
        <v>27</v>
      </c>
      <c r="C32" s="5">
        <v>-0.1162</v>
      </c>
      <c r="D32" s="5">
        <v>1.0999999999999999E-2</v>
      </c>
      <c r="E32" s="5">
        <v>-10.601900000000001</v>
      </c>
      <c r="F32" s="5">
        <v>0</v>
      </c>
      <c r="I32" t="s">
        <v>38</v>
      </c>
      <c r="J32">
        <v>1</v>
      </c>
      <c r="K32">
        <f>$C$25</f>
        <v>0.24079999999999999</v>
      </c>
      <c r="L32">
        <f>C25+C27</f>
        <v>0.42009999999999997</v>
      </c>
      <c r="M32">
        <f>C25+C28</f>
        <v>0.60439999999999994</v>
      </c>
      <c r="N32">
        <f>C25+C29</f>
        <v>0.17749999999999999</v>
      </c>
      <c r="O32">
        <f>C25+C30</f>
        <v>2.7299999999999991E-2</v>
      </c>
    </row>
    <row r="33" spans="1:15" x14ac:dyDescent="0.45">
      <c r="A33" s="5" t="s">
        <v>24</v>
      </c>
      <c r="B33" s="5">
        <v>28</v>
      </c>
      <c r="C33" s="5">
        <v>-0.1789</v>
      </c>
      <c r="D33" s="5">
        <v>1.06E-2</v>
      </c>
      <c r="E33" s="5">
        <v>-16.848099999999999</v>
      </c>
      <c r="F33" s="5">
        <v>0</v>
      </c>
      <c r="J33">
        <v>2</v>
      </c>
      <c r="K33">
        <v>0.24079999999999999</v>
      </c>
      <c r="L33">
        <v>0.42009999999999997</v>
      </c>
      <c r="M33">
        <v>0.60439999999999994</v>
      </c>
      <c r="N33">
        <v>0.17749999999999999</v>
      </c>
      <c r="O33">
        <v>2.7299999999999991E-2</v>
      </c>
    </row>
    <row r="34" spans="1:15" x14ac:dyDescent="0.45">
      <c r="A34" s="5" t="s">
        <v>25</v>
      </c>
      <c r="B34" s="5">
        <v>29</v>
      </c>
      <c r="C34" s="5">
        <v>-0.1943</v>
      </c>
      <c r="D34" s="5">
        <v>1.0500000000000001E-2</v>
      </c>
      <c r="E34" s="5">
        <v>-18.497299999999999</v>
      </c>
      <c r="F34" s="5">
        <v>0</v>
      </c>
      <c r="J34">
        <v>3</v>
      </c>
      <c r="K34">
        <v>0.24079999999999999</v>
      </c>
      <c r="L34">
        <v>0.42009999999999997</v>
      </c>
      <c r="M34">
        <v>0.60439999999999994</v>
      </c>
      <c r="N34">
        <v>0.17749999999999999</v>
      </c>
      <c r="O34">
        <v>2.7299999999999991E-2</v>
      </c>
    </row>
    <row r="35" spans="1:15" x14ac:dyDescent="0.45">
      <c r="A35" t="s">
        <v>26</v>
      </c>
      <c r="B35">
        <v>30</v>
      </c>
      <c r="C35">
        <v>-1.4113</v>
      </c>
      <c r="D35">
        <v>2.4E-2</v>
      </c>
      <c r="E35">
        <v>-58.884399999999999</v>
      </c>
      <c r="F35">
        <v>0</v>
      </c>
      <c r="J35">
        <v>4</v>
      </c>
      <c r="K35">
        <v>0.24079999999999999</v>
      </c>
      <c r="L35">
        <v>0.42009999999999997</v>
      </c>
      <c r="M35">
        <v>0.60439999999999994</v>
      </c>
      <c r="N35">
        <v>0.17749999999999999</v>
      </c>
      <c r="O35">
        <v>2.7299999999999991E-2</v>
      </c>
    </row>
    <row r="36" spans="1:15" x14ac:dyDescent="0.45">
      <c r="A36" t="s">
        <v>27</v>
      </c>
      <c r="B36">
        <v>31</v>
      </c>
      <c r="C36">
        <v>-0.37369999999999998</v>
      </c>
      <c r="D36">
        <v>5.5399999999999998E-2</v>
      </c>
      <c r="E36">
        <v>-6.7454000000000001</v>
      </c>
      <c r="F36">
        <v>0</v>
      </c>
    </row>
    <row r="37" spans="1:15" x14ac:dyDescent="0.45">
      <c r="A37" t="s">
        <v>28</v>
      </c>
      <c r="B37">
        <v>32</v>
      </c>
      <c r="C37">
        <v>-1.3084</v>
      </c>
      <c r="D37">
        <v>5.0500000000000003E-2</v>
      </c>
      <c r="E37">
        <v>-25.8963</v>
      </c>
      <c r="F37">
        <v>0</v>
      </c>
      <c r="I37" t="s">
        <v>40</v>
      </c>
      <c r="J37">
        <v>1</v>
      </c>
      <c r="K37">
        <f>K26+K32</f>
        <v>1.1706999999999999</v>
      </c>
      <c r="L37">
        <f>L26+L32</f>
        <v>1.2403999999999999</v>
      </c>
      <c r="M37">
        <f>M26+M32</f>
        <v>1.4180999999999999</v>
      </c>
      <c r="N37">
        <f>N26+N32</f>
        <v>0.92849999999999988</v>
      </c>
      <c r="O37">
        <f>O26+O32</f>
        <v>0.76289999999999991</v>
      </c>
    </row>
    <row r="38" spans="1:15" x14ac:dyDescent="0.45">
      <c r="A38" s="4" t="s">
        <v>29</v>
      </c>
      <c r="B38" s="4">
        <v>33</v>
      </c>
      <c r="C38" s="4">
        <v>0.9264</v>
      </c>
      <c r="D38" s="4">
        <v>6.6000000000000003E-2</v>
      </c>
      <c r="E38" s="4">
        <v>14.0426</v>
      </c>
      <c r="F38" s="4">
        <v>0</v>
      </c>
      <c r="J38">
        <v>2</v>
      </c>
      <c r="K38">
        <f>K27+K33</f>
        <v>-0.24060000000000006</v>
      </c>
      <c r="L38">
        <f t="shared" ref="L38:O38" si="5">L27+L33</f>
        <v>-0.17090000000000011</v>
      </c>
      <c r="M38">
        <f t="shared" si="5"/>
        <v>6.7999999999999172E-3</v>
      </c>
      <c r="N38">
        <f t="shared" si="5"/>
        <v>-0.48280000000000012</v>
      </c>
      <c r="O38">
        <f t="shared" si="5"/>
        <v>-0.64840000000000009</v>
      </c>
    </row>
    <row r="39" spans="1:15" x14ac:dyDescent="0.45">
      <c r="A39" s="4" t="s">
        <v>30</v>
      </c>
      <c r="B39" s="4">
        <v>34</v>
      </c>
      <c r="C39" s="4">
        <v>0.29389999999999999</v>
      </c>
      <c r="D39" s="4">
        <v>9.3100000000000002E-2</v>
      </c>
      <c r="E39" s="4">
        <v>3.1570999999999998</v>
      </c>
      <c r="F39" s="4">
        <v>1.6000000000000001E-3</v>
      </c>
      <c r="J39">
        <v>3</v>
      </c>
      <c r="K39">
        <f>K28-K34</f>
        <v>0.31540000000000001</v>
      </c>
      <c r="L39">
        <f t="shared" ref="L39:O39" si="6">L28-L34</f>
        <v>2.6500000000000024E-2</v>
      </c>
      <c r="M39">
        <f t="shared" si="6"/>
        <v>-0.16439999999999988</v>
      </c>
      <c r="N39">
        <f t="shared" si="6"/>
        <v>0.19980000000000003</v>
      </c>
      <c r="O39">
        <f t="shared" si="6"/>
        <v>0.33460000000000001</v>
      </c>
    </row>
    <row r="40" spans="1:15" x14ac:dyDescent="0.45">
      <c r="A40" s="4" t="s">
        <v>31</v>
      </c>
      <c r="B40" s="4">
        <v>35</v>
      </c>
      <c r="C40" s="4">
        <v>-0.4451</v>
      </c>
      <c r="D40" s="4">
        <v>3.3799999999999997E-2</v>
      </c>
      <c r="E40" s="4">
        <v>-13.1624</v>
      </c>
      <c r="F40" s="4">
        <v>0</v>
      </c>
      <c r="J40">
        <v>4</v>
      </c>
      <c r="K40">
        <f>K29-K35</f>
        <v>-0.61930000000000007</v>
      </c>
      <c r="L40">
        <f t="shared" ref="L40:M40" si="7">L29-L35</f>
        <v>-0.90820000000000012</v>
      </c>
      <c r="M40">
        <f t="shared" si="7"/>
        <v>-1.0991</v>
      </c>
      <c r="N40">
        <f>N29-N35</f>
        <v>-0.73490000000000011</v>
      </c>
      <c r="O40">
        <f>O29-O35</f>
        <v>-0.60010000000000008</v>
      </c>
    </row>
    <row r="41" spans="1:15" x14ac:dyDescent="0.45">
      <c r="A41" s="4" t="s">
        <v>32</v>
      </c>
      <c r="B41" s="4">
        <v>36</v>
      </c>
      <c r="C41" s="4">
        <v>0.57689999999999997</v>
      </c>
      <c r="D41" s="4">
        <v>0.14330000000000001</v>
      </c>
      <c r="E41" s="4">
        <v>4.0247999999999999</v>
      </c>
      <c r="F41" s="4">
        <v>1E-4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"/>
  <sheetViews>
    <sheetView tabSelected="1" topLeftCell="A10" workbookViewId="0">
      <selection activeCell="E21" sqref="E21"/>
    </sheetView>
  </sheetViews>
  <sheetFormatPr defaultRowHeight="14.25" x14ac:dyDescent="0.45"/>
  <cols>
    <col min="1" max="1" width="17.33203125" customWidth="1"/>
    <col min="5" max="5" width="12.73046875" customWidth="1"/>
    <col min="7" max="7" width="12.73046875" customWidth="1"/>
    <col min="14" max="14" width="3.86328125" customWidth="1"/>
    <col min="15" max="15" width="8.86328125" hidden="1" customWidth="1"/>
    <col min="19" max="19" width="13.06640625" customWidth="1"/>
  </cols>
  <sheetData>
    <row r="1" spans="1:22" ht="18" x14ac:dyDescent="0.55000000000000004">
      <c r="H1" s="6" t="s">
        <v>64</v>
      </c>
    </row>
    <row r="2" spans="1:22" x14ac:dyDescent="0.45">
      <c r="J2" t="s">
        <v>75</v>
      </c>
      <c r="K2" t="s">
        <v>76</v>
      </c>
      <c r="L2" t="s">
        <v>77</v>
      </c>
      <c r="M2" t="s">
        <v>78</v>
      </c>
      <c r="P2" s="12"/>
      <c r="Q2" s="12"/>
      <c r="R2" s="12"/>
      <c r="S2" s="12"/>
      <c r="T2" s="12"/>
      <c r="U2" s="12"/>
      <c r="V2" s="12"/>
    </row>
    <row r="3" spans="1:22" x14ac:dyDescent="0.45">
      <c r="I3" t="s">
        <v>59</v>
      </c>
      <c r="J3" t="s">
        <v>60</v>
      </c>
      <c r="K3" t="s">
        <v>61</v>
      </c>
      <c r="L3" t="s">
        <v>62</v>
      </c>
      <c r="M3" t="s">
        <v>63</v>
      </c>
      <c r="P3" s="12"/>
      <c r="Q3" s="12"/>
      <c r="R3" s="12"/>
      <c r="S3" s="12"/>
      <c r="T3" s="12"/>
      <c r="U3" s="12"/>
      <c r="V3" s="12"/>
    </row>
    <row r="4" spans="1:22" x14ac:dyDescent="0.45">
      <c r="A4" s="17"/>
      <c r="B4" t="s">
        <v>0</v>
      </c>
      <c r="C4" t="s">
        <v>1</v>
      </c>
      <c r="D4" t="s">
        <v>2</v>
      </c>
      <c r="I4" s="12" t="s">
        <v>33</v>
      </c>
      <c r="J4" t="s">
        <v>34</v>
      </c>
      <c r="K4" t="s">
        <v>35</v>
      </c>
      <c r="L4" t="s">
        <v>36</v>
      </c>
      <c r="M4" t="s">
        <v>37</v>
      </c>
      <c r="P4" s="12"/>
      <c r="Q4" s="12"/>
      <c r="R4" s="12"/>
      <c r="S4" s="12"/>
      <c r="T4" s="12"/>
      <c r="U4" s="12"/>
      <c r="V4" s="12"/>
    </row>
    <row r="5" spans="1:22" ht="28.5" x14ac:dyDescent="0.45">
      <c r="A5" s="18" t="s">
        <v>5</v>
      </c>
      <c r="B5" s="9">
        <v>1</v>
      </c>
      <c r="C5" s="9">
        <v>-1.4782</v>
      </c>
      <c r="D5" s="9">
        <v>7.1099999999999997E-2</v>
      </c>
      <c r="E5" s="15" t="s">
        <v>71</v>
      </c>
      <c r="G5" s="14" t="s">
        <v>67</v>
      </c>
      <c r="H5">
        <v>1</v>
      </c>
      <c r="I5">
        <f>C13</f>
        <v>-0.3972</v>
      </c>
      <c r="J5">
        <f xml:space="preserve"> C13+C18</f>
        <v>-0.5081</v>
      </c>
      <c r="K5">
        <f>C13+C19</f>
        <v>-0.72770000000000001</v>
      </c>
      <c r="L5">
        <f>C13+C20</f>
        <v>-0.75890000000000002</v>
      </c>
      <c r="M5">
        <f>C13+C21</f>
        <v>-0.83640000000000003</v>
      </c>
      <c r="P5" s="15" t="s">
        <v>66</v>
      </c>
      <c r="Q5" s="15"/>
      <c r="R5" s="15"/>
      <c r="S5" s="15"/>
      <c r="T5" s="12"/>
      <c r="U5" s="12"/>
      <c r="V5" s="12"/>
    </row>
    <row r="6" spans="1:22" x14ac:dyDescent="0.45">
      <c r="A6" s="18" t="s">
        <v>73</v>
      </c>
      <c r="B6" s="9">
        <v>2</v>
      </c>
      <c r="C6" s="9">
        <v>9.06E-2</v>
      </c>
      <c r="D6" s="9">
        <v>3.1199999999999999E-2</v>
      </c>
      <c r="E6" s="15"/>
      <c r="H6">
        <v>2</v>
      </c>
      <c r="I6">
        <f>I5+$C$22</f>
        <v>-0.74459999999999993</v>
      </c>
      <c r="J6">
        <f>J5+$C$22</f>
        <v>-0.85549999999999993</v>
      </c>
      <c r="K6">
        <f>K5+$C$22</f>
        <v>-1.0750999999999999</v>
      </c>
      <c r="L6">
        <f>L5+$C$22</f>
        <v>-1.1063000000000001</v>
      </c>
      <c r="M6">
        <f>M5+$C$22</f>
        <v>-1.1838</v>
      </c>
      <c r="P6" s="15"/>
      <c r="Q6" s="15"/>
      <c r="R6" s="15"/>
      <c r="S6" s="15"/>
      <c r="T6" s="12"/>
      <c r="U6" s="12"/>
      <c r="V6" s="12"/>
    </row>
    <row r="7" spans="1:22" x14ac:dyDescent="0.45">
      <c r="A7" s="18" t="s">
        <v>74</v>
      </c>
      <c r="B7" s="9">
        <v>3</v>
      </c>
      <c r="C7" s="9">
        <v>0.10150000000000001</v>
      </c>
      <c r="D7" s="9">
        <v>3.1099999999999999E-2</v>
      </c>
      <c r="E7" s="15"/>
      <c r="H7">
        <v>3</v>
      </c>
      <c r="I7">
        <f>I5+$C$23</f>
        <v>2.3030999999999997</v>
      </c>
      <c r="J7">
        <f>J5+$C$23</f>
        <v>2.1921999999999997</v>
      </c>
      <c r="K7">
        <f>K5+$C$23</f>
        <v>1.9725999999999999</v>
      </c>
      <c r="L7">
        <f>L5+$C$23</f>
        <v>1.9413999999999998</v>
      </c>
      <c r="M7">
        <f>M5+$C$23</f>
        <v>1.8638999999999999</v>
      </c>
      <c r="P7" s="15"/>
      <c r="Q7" s="15"/>
      <c r="R7" s="15"/>
      <c r="S7" s="15"/>
      <c r="T7" s="12"/>
      <c r="U7" s="12"/>
      <c r="V7" s="12"/>
    </row>
    <row r="8" spans="1:22" x14ac:dyDescent="0.45">
      <c r="A8" s="18" t="s">
        <v>5</v>
      </c>
      <c r="B8" s="9">
        <v>4</v>
      </c>
      <c r="C8" s="9">
        <v>-0.82410000000000005</v>
      </c>
      <c r="D8" s="9">
        <v>7.4399999999999994E-2</v>
      </c>
      <c r="E8" s="15"/>
      <c r="H8">
        <v>4</v>
      </c>
      <c r="I8">
        <f>I5+$C$24</f>
        <v>1.4155</v>
      </c>
      <c r="J8">
        <f>J5+$C$24</f>
        <v>1.3046</v>
      </c>
      <c r="K8">
        <f>K5+$C$24</f>
        <v>1.085</v>
      </c>
      <c r="L8">
        <f t="shared" ref="L8" si="0">L5+$C$24</f>
        <v>1.0537999999999998</v>
      </c>
      <c r="M8">
        <f>M5+$C$24</f>
        <v>0.97629999999999995</v>
      </c>
      <c r="P8" s="15"/>
      <c r="Q8" s="15"/>
      <c r="R8" s="15"/>
      <c r="S8" s="15"/>
      <c r="T8" s="12"/>
      <c r="U8" s="12"/>
      <c r="V8" s="12"/>
    </row>
    <row r="9" spans="1:22" x14ac:dyDescent="0.45">
      <c r="A9" s="18" t="s">
        <v>73</v>
      </c>
      <c r="B9" s="9">
        <v>5</v>
      </c>
      <c r="C9" s="9">
        <v>-0.50170000000000003</v>
      </c>
      <c r="D9" s="9">
        <v>4.2299999999999997E-2</v>
      </c>
      <c r="E9" s="15"/>
    </row>
    <row r="10" spans="1:22" x14ac:dyDescent="0.45">
      <c r="A10" s="18" t="s">
        <v>74</v>
      </c>
      <c r="B10" s="9">
        <v>6</v>
      </c>
      <c r="C10" s="9">
        <v>0.2782</v>
      </c>
      <c r="D10" s="9">
        <v>4.0300000000000002E-2</v>
      </c>
      <c r="E10" s="15"/>
      <c r="I10" t="s">
        <v>54</v>
      </c>
      <c r="J10" t="s">
        <v>55</v>
      </c>
      <c r="K10" t="s">
        <v>56</v>
      </c>
      <c r="L10" t="s">
        <v>57</v>
      </c>
      <c r="M10" t="s">
        <v>58</v>
      </c>
    </row>
    <row r="11" spans="1:22" x14ac:dyDescent="0.45">
      <c r="A11" s="18" t="s">
        <v>5</v>
      </c>
      <c r="B11" s="9">
        <v>7</v>
      </c>
      <c r="C11" s="9">
        <v>3.8681000000000001</v>
      </c>
      <c r="D11" s="9">
        <v>0.14360000000000001</v>
      </c>
      <c r="E11" s="15"/>
      <c r="G11" t="s">
        <v>68</v>
      </c>
      <c r="H11">
        <v>1</v>
      </c>
      <c r="I11">
        <f>$C$12</f>
        <v>2.3420999999999998</v>
      </c>
      <c r="J11">
        <f>C12+C14</f>
        <v>2.5625999999999998</v>
      </c>
      <c r="K11">
        <f>C12+C15</f>
        <v>3.1250999999999998</v>
      </c>
      <c r="L11">
        <f>C12+C16</f>
        <v>2.4529999999999998</v>
      </c>
      <c r="M11">
        <f>C12+C17</f>
        <v>2.1894999999999998</v>
      </c>
    </row>
    <row r="12" spans="1:22" x14ac:dyDescent="0.45">
      <c r="A12" s="19" t="s">
        <v>8</v>
      </c>
      <c r="B12" s="10">
        <v>8</v>
      </c>
      <c r="C12" s="10">
        <v>2.3420999999999998</v>
      </c>
      <c r="D12" s="10">
        <v>0.111</v>
      </c>
      <c r="H12">
        <v>2</v>
      </c>
      <c r="I12">
        <v>2.3420999999999998</v>
      </c>
      <c r="J12">
        <v>2.5625999999999998</v>
      </c>
      <c r="K12">
        <v>3.1250999999999998</v>
      </c>
      <c r="L12">
        <v>2.4529999999999998</v>
      </c>
      <c r="M12">
        <v>2.1894999999999998</v>
      </c>
    </row>
    <row r="13" spans="1:22" x14ac:dyDescent="0.45">
      <c r="A13" s="17" t="s">
        <v>9</v>
      </c>
      <c r="B13">
        <v>9</v>
      </c>
      <c r="C13">
        <v>-0.3972</v>
      </c>
      <c r="D13">
        <v>0.1512</v>
      </c>
      <c r="H13">
        <v>3</v>
      </c>
      <c r="I13">
        <v>2.3420999999999998</v>
      </c>
      <c r="J13">
        <v>2.5625999999999998</v>
      </c>
      <c r="K13">
        <v>3.1250999999999998</v>
      </c>
      <c r="L13">
        <v>2.4529999999999998</v>
      </c>
      <c r="M13">
        <v>2.1894999999999998</v>
      </c>
    </row>
    <row r="14" spans="1:22" x14ac:dyDescent="0.45">
      <c r="A14" s="19" t="s">
        <v>75</v>
      </c>
      <c r="B14" s="10">
        <v>10</v>
      </c>
      <c r="C14" s="10">
        <v>0.2205</v>
      </c>
      <c r="D14" s="10">
        <v>5.7299999999999997E-2</v>
      </c>
      <c r="H14">
        <v>4</v>
      </c>
      <c r="I14">
        <v>2.3420999999999998</v>
      </c>
      <c r="J14">
        <v>2.5625999999999998</v>
      </c>
      <c r="K14">
        <v>3.1250999999999998</v>
      </c>
      <c r="L14">
        <v>2.4529999999999998</v>
      </c>
      <c r="M14">
        <v>2.1894999999999998</v>
      </c>
    </row>
    <row r="15" spans="1:22" x14ac:dyDescent="0.45">
      <c r="A15" s="19" t="s">
        <v>76</v>
      </c>
      <c r="B15" s="10">
        <v>11</v>
      </c>
      <c r="C15" s="10">
        <v>0.78300000000000003</v>
      </c>
      <c r="D15" s="10">
        <v>6.7100000000000007E-2</v>
      </c>
    </row>
    <row r="16" spans="1:22" x14ac:dyDescent="0.45">
      <c r="A16" s="19" t="s">
        <v>77</v>
      </c>
      <c r="B16" s="10">
        <v>12</v>
      </c>
      <c r="C16" s="10">
        <v>0.1109</v>
      </c>
      <c r="D16" s="10">
        <v>5.74E-2</v>
      </c>
      <c r="G16" t="s">
        <v>69</v>
      </c>
      <c r="H16">
        <v>1</v>
      </c>
      <c r="I16">
        <f>I5+1.5*I11</f>
        <v>3.1159499999999998</v>
      </c>
      <c r="J16">
        <f>J5+1.5*J11</f>
        <v>3.3357999999999999</v>
      </c>
      <c r="K16">
        <f t="shared" ref="K16:M16" si="1">K5+1.5*K11</f>
        <v>3.9599499999999996</v>
      </c>
      <c r="L16">
        <f>L5+1.5*L11</f>
        <v>2.9205999999999999</v>
      </c>
      <c r="M16">
        <f t="shared" si="1"/>
        <v>2.4478499999999999</v>
      </c>
      <c r="P16" s="16" t="s">
        <v>70</v>
      </c>
      <c r="Q16" s="16"/>
      <c r="R16" s="16"/>
      <c r="S16" s="16"/>
    </row>
    <row r="17" spans="1:19" x14ac:dyDescent="0.45">
      <c r="A17" s="19" t="s">
        <v>78</v>
      </c>
      <c r="B17" s="10">
        <v>13</v>
      </c>
      <c r="C17" s="10">
        <v>-0.15260000000000001</v>
      </c>
      <c r="D17" s="10">
        <v>5.1999999999999998E-2</v>
      </c>
      <c r="H17">
        <v>2</v>
      </c>
      <c r="I17">
        <f>I6+0.5*I12</f>
        <v>0.42645</v>
      </c>
      <c r="J17">
        <f>J6+0.5*J12</f>
        <v>0.42579999999999996</v>
      </c>
      <c r="K17">
        <f t="shared" ref="K17:M17" si="2">K6+0.5*K12</f>
        <v>0.48744999999999994</v>
      </c>
      <c r="L17">
        <f t="shared" si="2"/>
        <v>0.12019999999999986</v>
      </c>
      <c r="M17">
        <f t="shared" si="2"/>
        <v>-8.9050000000000074E-2</v>
      </c>
      <c r="P17" s="16"/>
      <c r="Q17" s="16"/>
      <c r="R17" s="16"/>
      <c r="S17" s="16"/>
    </row>
    <row r="18" spans="1:19" x14ac:dyDescent="0.45">
      <c r="A18" s="17" t="s">
        <v>79</v>
      </c>
      <c r="B18">
        <v>14</v>
      </c>
      <c r="C18">
        <v>-0.1109</v>
      </c>
      <c r="D18">
        <v>1.7100000000000001E-2</v>
      </c>
      <c r="H18">
        <v>3</v>
      </c>
      <c r="I18">
        <f>I7-0.5*I13</f>
        <v>1.1320499999999998</v>
      </c>
      <c r="J18">
        <f t="shared" ref="J18:M18" si="3">J7-0.5*J13</f>
        <v>0.91089999999999982</v>
      </c>
      <c r="K18">
        <f t="shared" si="3"/>
        <v>0.41005000000000003</v>
      </c>
      <c r="L18">
        <f>L7-0.5*L13</f>
        <v>0.71489999999999987</v>
      </c>
      <c r="M18">
        <f t="shared" si="3"/>
        <v>0.76915</v>
      </c>
      <c r="P18" s="16"/>
      <c r="Q18" s="16"/>
      <c r="R18" s="16"/>
      <c r="S18" s="16"/>
    </row>
    <row r="19" spans="1:19" x14ac:dyDescent="0.45">
      <c r="A19" s="17" t="s">
        <v>80</v>
      </c>
      <c r="B19">
        <v>15</v>
      </c>
      <c r="C19">
        <v>-0.33050000000000002</v>
      </c>
      <c r="D19">
        <v>1.61E-2</v>
      </c>
      <c r="H19">
        <v>4</v>
      </c>
      <c r="I19">
        <f>I8-1.5*I14</f>
        <v>-2.0976499999999998</v>
      </c>
      <c r="J19">
        <f t="shared" ref="J19:L19" si="4">J8-1.5*J14</f>
        <v>-2.5392999999999999</v>
      </c>
      <c r="K19">
        <f t="shared" si="4"/>
        <v>-3.6026499999999997</v>
      </c>
      <c r="L19">
        <f t="shared" si="4"/>
        <v>-2.6257000000000001</v>
      </c>
      <c r="M19">
        <f>M8-1.5*M14</f>
        <v>-2.3079499999999999</v>
      </c>
      <c r="P19" s="16"/>
      <c r="Q19" s="16"/>
      <c r="R19" s="16"/>
      <c r="S19" s="16"/>
    </row>
    <row r="20" spans="1:19" x14ac:dyDescent="0.45">
      <c r="A20" s="17" t="s">
        <v>81</v>
      </c>
      <c r="B20">
        <v>16</v>
      </c>
      <c r="C20">
        <v>-0.36170000000000002</v>
      </c>
      <c r="D20">
        <v>1.5699999999999999E-2</v>
      </c>
    </row>
    <row r="21" spans="1:19" x14ac:dyDescent="0.45">
      <c r="A21" s="17" t="s">
        <v>82</v>
      </c>
      <c r="B21">
        <v>17</v>
      </c>
      <c r="C21">
        <v>-0.43919999999999998</v>
      </c>
      <c r="D21">
        <v>1.54E-2</v>
      </c>
    </row>
    <row r="22" spans="1:19" ht="18" x14ac:dyDescent="0.55000000000000004">
      <c r="A22" s="17" t="s">
        <v>18</v>
      </c>
      <c r="B22">
        <v>18</v>
      </c>
      <c r="C22">
        <v>-0.34739999999999999</v>
      </c>
      <c r="D22">
        <v>0.1033</v>
      </c>
      <c r="H22" s="6" t="s">
        <v>65</v>
      </c>
    </row>
    <row r="23" spans="1:19" x14ac:dyDescent="0.45">
      <c r="A23" s="17" t="s">
        <v>19</v>
      </c>
      <c r="B23">
        <v>19</v>
      </c>
      <c r="C23">
        <v>2.7002999999999999</v>
      </c>
      <c r="D23">
        <v>0.2079</v>
      </c>
      <c r="J23" t="s">
        <v>75</v>
      </c>
      <c r="K23" t="s">
        <v>76</v>
      </c>
      <c r="L23" t="s">
        <v>77</v>
      </c>
      <c r="M23" t="s">
        <v>78</v>
      </c>
    </row>
    <row r="24" spans="1:19" x14ac:dyDescent="0.45">
      <c r="A24" s="17" t="s">
        <v>20</v>
      </c>
      <c r="B24">
        <v>20</v>
      </c>
      <c r="C24">
        <v>1.8127</v>
      </c>
      <c r="D24">
        <v>0.29530000000000001</v>
      </c>
      <c r="I24" t="s">
        <v>59</v>
      </c>
      <c r="J24" t="s">
        <v>60</v>
      </c>
      <c r="K24" t="s">
        <v>61</v>
      </c>
      <c r="L24" t="s">
        <v>62</v>
      </c>
      <c r="M24" t="s">
        <v>63</v>
      </c>
    </row>
    <row r="25" spans="1:19" x14ac:dyDescent="0.45">
      <c r="A25" s="17" t="s">
        <v>8</v>
      </c>
      <c r="B25">
        <v>21</v>
      </c>
      <c r="C25">
        <v>0.95330000000000004</v>
      </c>
      <c r="D25">
        <v>3.7400000000000003E-2</v>
      </c>
      <c r="I25" s="12" t="s">
        <v>33</v>
      </c>
      <c r="J25" t="s">
        <v>34</v>
      </c>
      <c r="K25" t="s">
        <v>35</v>
      </c>
      <c r="L25" t="s">
        <v>36</v>
      </c>
      <c r="M25" t="s">
        <v>37</v>
      </c>
    </row>
    <row r="26" spans="1:19" ht="14.25" customHeight="1" x14ac:dyDescent="0.45">
      <c r="A26" s="17" t="s">
        <v>21</v>
      </c>
      <c r="B26">
        <v>22</v>
      </c>
      <c r="C26">
        <v>0.1996</v>
      </c>
      <c r="D26">
        <v>4.0500000000000001E-2</v>
      </c>
      <c r="G26" s="14" t="s">
        <v>67</v>
      </c>
      <c r="H26">
        <v>1</v>
      </c>
      <c r="I26">
        <f>C26</f>
        <v>0.1996</v>
      </c>
      <c r="J26">
        <f>I26+$C$31</f>
        <v>8.2500000000000004E-2</v>
      </c>
      <c r="K26">
        <f>I26+$C$32</f>
        <v>7.6299999999999993E-2</v>
      </c>
      <c r="L26">
        <f>I26+$C$33</f>
        <v>8.8000000000000023E-3</v>
      </c>
      <c r="M26">
        <f>I26+$C$34</f>
        <v>-1.4000000000000123E-3</v>
      </c>
      <c r="P26" s="15" t="s">
        <v>66</v>
      </c>
      <c r="Q26" s="15"/>
      <c r="R26" s="15"/>
      <c r="S26" s="15"/>
    </row>
    <row r="27" spans="1:19" x14ac:dyDescent="0.45">
      <c r="A27" s="17" t="s">
        <v>75</v>
      </c>
      <c r="B27">
        <v>23</v>
      </c>
      <c r="C27">
        <v>8.4699999999999998E-2</v>
      </c>
      <c r="D27">
        <v>3.2399999999999998E-2</v>
      </c>
      <c r="H27">
        <v>2</v>
      </c>
      <c r="I27">
        <f>I26+$C$35</f>
        <v>-0.67190000000000005</v>
      </c>
      <c r="J27">
        <f>I27+$C$31</f>
        <v>-0.78900000000000003</v>
      </c>
      <c r="K27">
        <f>I27+$C$32</f>
        <v>-0.79520000000000002</v>
      </c>
      <c r="L27">
        <f>I27+$C$33</f>
        <v>-0.86270000000000002</v>
      </c>
      <c r="M27">
        <f>I27+$C$34</f>
        <v>-0.87290000000000001</v>
      </c>
      <c r="P27" s="15"/>
      <c r="Q27" s="15"/>
      <c r="R27" s="15"/>
      <c r="S27" s="15"/>
    </row>
    <row r="28" spans="1:19" x14ac:dyDescent="0.45">
      <c r="A28" s="17" t="s">
        <v>76</v>
      </c>
      <c r="B28">
        <v>24</v>
      </c>
      <c r="C28">
        <v>-7.3000000000000001E-3</v>
      </c>
      <c r="D28">
        <v>3.1300000000000001E-2</v>
      </c>
      <c r="H28">
        <v>3</v>
      </c>
      <c r="I28">
        <f>I26+$C$36</f>
        <v>0.74209999999999998</v>
      </c>
      <c r="J28">
        <f>I28+$C$31</f>
        <v>0.625</v>
      </c>
      <c r="K28">
        <f>I28+$C$32</f>
        <v>0.61880000000000002</v>
      </c>
      <c r="L28">
        <f>I28+$C$33</f>
        <v>0.55130000000000001</v>
      </c>
      <c r="M28">
        <f>I28+$C$34</f>
        <v>0.54109999999999991</v>
      </c>
      <c r="P28" s="15"/>
      <c r="Q28" s="15"/>
      <c r="R28" s="15"/>
      <c r="S28" s="15"/>
    </row>
    <row r="29" spans="1:19" x14ac:dyDescent="0.45">
      <c r="A29" s="17" t="s">
        <v>77</v>
      </c>
      <c r="B29">
        <v>25</v>
      </c>
      <c r="C29">
        <v>-0.25159999999999999</v>
      </c>
      <c r="D29">
        <v>3.0499999999999999E-2</v>
      </c>
      <c r="H29">
        <v>4</v>
      </c>
      <c r="I29">
        <f>I26+$C$37</f>
        <v>0.35370000000000001</v>
      </c>
      <c r="J29">
        <f>I29+$C$31</f>
        <v>0.23660000000000003</v>
      </c>
      <c r="K29">
        <f>I29+$C$32</f>
        <v>0.23039999999999999</v>
      </c>
      <c r="L29">
        <f>I29+$C$33</f>
        <v>0.16290000000000002</v>
      </c>
      <c r="M29">
        <f>I29+$C$34</f>
        <v>0.1527</v>
      </c>
      <c r="P29" s="15"/>
      <c r="Q29" s="15"/>
      <c r="R29" s="15"/>
      <c r="S29" s="15"/>
    </row>
    <row r="30" spans="1:19" x14ac:dyDescent="0.45">
      <c r="A30" s="17" t="s">
        <v>78</v>
      </c>
      <c r="B30">
        <v>26</v>
      </c>
      <c r="C30">
        <v>-0.2288</v>
      </c>
      <c r="D30">
        <v>3.0700000000000002E-2</v>
      </c>
    </row>
    <row r="31" spans="1:19" x14ac:dyDescent="0.45">
      <c r="A31" s="17" t="s">
        <v>83</v>
      </c>
      <c r="B31">
        <v>27</v>
      </c>
      <c r="C31">
        <v>-0.1171</v>
      </c>
      <c r="D31">
        <v>1.12E-2</v>
      </c>
      <c r="I31" t="s">
        <v>54</v>
      </c>
      <c r="J31" t="s">
        <v>55</v>
      </c>
      <c r="K31" t="s">
        <v>56</v>
      </c>
      <c r="L31" t="s">
        <v>57</v>
      </c>
      <c r="M31" t="s">
        <v>58</v>
      </c>
    </row>
    <row r="32" spans="1:19" x14ac:dyDescent="0.45">
      <c r="A32" s="17" t="s">
        <v>84</v>
      </c>
      <c r="B32">
        <v>28</v>
      </c>
      <c r="C32">
        <v>-0.12330000000000001</v>
      </c>
      <c r="D32">
        <v>1.11E-2</v>
      </c>
      <c r="G32" t="s">
        <v>68</v>
      </c>
      <c r="H32">
        <v>1</v>
      </c>
      <c r="I32">
        <f>$C$25</f>
        <v>0.95330000000000004</v>
      </c>
      <c r="J32">
        <f>C25+C27</f>
        <v>1.038</v>
      </c>
      <c r="K32">
        <f>C25+C28</f>
        <v>0.94600000000000006</v>
      </c>
      <c r="L32">
        <f>C25+C29</f>
        <v>0.70169999999999999</v>
      </c>
      <c r="M32">
        <f>C25+C30</f>
        <v>0.72450000000000003</v>
      </c>
    </row>
    <row r="33" spans="1:19" x14ac:dyDescent="0.45">
      <c r="A33" s="17" t="s">
        <v>85</v>
      </c>
      <c r="B33">
        <v>29</v>
      </c>
      <c r="C33">
        <v>-0.1908</v>
      </c>
      <c r="D33">
        <v>1.09E-2</v>
      </c>
      <c r="H33">
        <v>2</v>
      </c>
      <c r="I33">
        <v>0.95330000000000004</v>
      </c>
      <c r="J33">
        <v>1.038</v>
      </c>
      <c r="K33">
        <v>0.94600000000000006</v>
      </c>
      <c r="L33">
        <v>0.70169999999999999</v>
      </c>
      <c r="M33">
        <v>0.72450000000000003</v>
      </c>
    </row>
    <row r="34" spans="1:19" x14ac:dyDescent="0.45">
      <c r="A34" s="17" t="s">
        <v>86</v>
      </c>
      <c r="B34">
        <v>30</v>
      </c>
      <c r="C34">
        <v>-0.20100000000000001</v>
      </c>
      <c r="D34">
        <v>1.09E-2</v>
      </c>
      <c r="H34">
        <v>3</v>
      </c>
      <c r="I34">
        <v>0.95330000000000004</v>
      </c>
      <c r="J34">
        <v>1.038</v>
      </c>
      <c r="K34">
        <v>0.94600000000000006</v>
      </c>
      <c r="L34">
        <v>0.70169999999999999</v>
      </c>
      <c r="M34">
        <v>0.72450000000000003</v>
      </c>
    </row>
    <row r="35" spans="1:19" x14ac:dyDescent="0.45">
      <c r="A35" s="17" t="s">
        <v>26</v>
      </c>
      <c r="B35">
        <v>31</v>
      </c>
      <c r="C35">
        <v>-0.87150000000000005</v>
      </c>
      <c r="D35">
        <v>3.2199999999999999E-2</v>
      </c>
      <c r="H35">
        <v>4</v>
      </c>
      <c r="I35">
        <v>0.95330000000000004</v>
      </c>
      <c r="J35">
        <v>1.038</v>
      </c>
      <c r="K35">
        <v>0.94600000000000006</v>
      </c>
      <c r="L35">
        <v>0.70169999999999999</v>
      </c>
      <c r="M35">
        <v>0.72450000000000003</v>
      </c>
    </row>
    <row r="36" spans="1:19" x14ac:dyDescent="0.45">
      <c r="A36" s="17" t="s">
        <v>27</v>
      </c>
      <c r="B36">
        <v>32</v>
      </c>
      <c r="C36">
        <v>0.54249999999999998</v>
      </c>
      <c r="D36">
        <v>5.5300000000000002E-2</v>
      </c>
    </row>
    <row r="37" spans="1:19" x14ac:dyDescent="0.45">
      <c r="A37" s="17" t="s">
        <v>28</v>
      </c>
      <c r="B37">
        <v>33</v>
      </c>
      <c r="C37">
        <v>0.15409999999999999</v>
      </c>
      <c r="D37">
        <v>7.6100000000000001E-2</v>
      </c>
      <c r="G37" t="s">
        <v>69</v>
      </c>
      <c r="H37">
        <v>1</v>
      </c>
      <c r="I37">
        <f>I26+1.5*I32</f>
        <v>1.6295500000000001</v>
      </c>
      <c r="J37">
        <f t="shared" ref="J37:L37" si="5">J26+1.5*J32</f>
        <v>1.6395</v>
      </c>
      <c r="K37">
        <f t="shared" si="5"/>
        <v>1.4953000000000001</v>
      </c>
      <c r="L37">
        <f t="shared" si="5"/>
        <v>1.06135</v>
      </c>
      <c r="M37">
        <f>M26+1.5*M32</f>
        <v>1.08535</v>
      </c>
      <c r="P37" s="15" t="s">
        <v>70</v>
      </c>
      <c r="Q37" s="15"/>
      <c r="R37" s="15"/>
      <c r="S37" s="15"/>
    </row>
    <row r="38" spans="1:19" x14ac:dyDescent="0.45">
      <c r="A38" s="20" t="s">
        <v>29</v>
      </c>
      <c r="B38" s="21">
        <v>34</v>
      </c>
      <c r="C38" s="21">
        <v>0.2863</v>
      </c>
      <c r="D38" s="21">
        <v>1.38E-2</v>
      </c>
      <c r="E38" s="15" t="s">
        <v>72</v>
      </c>
      <c r="H38">
        <v>2</v>
      </c>
      <c r="I38">
        <f>I27+0.5*I33</f>
        <v>-0.19525000000000003</v>
      </c>
      <c r="J38">
        <f t="shared" ref="J38:L38" si="6">J27+0.5*J33</f>
        <v>-0.27</v>
      </c>
      <c r="K38">
        <f t="shared" si="6"/>
        <v>-0.32219999999999999</v>
      </c>
      <c r="L38">
        <f t="shared" si="6"/>
        <v>-0.51185000000000003</v>
      </c>
      <c r="M38">
        <f>M27+0.5*M33</f>
        <v>-0.51065000000000005</v>
      </c>
      <c r="P38" s="15"/>
      <c r="Q38" s="15"/>
      <c r="R38" s="15"/>
      <c r="S38" s="15"/>
    </row>
    <row r="39" spans="1:19" x14ac:dyDescent="0.45">
      <c r="A39" s="20" t="s">
        <v>30</v>
      </c>
      <c r="B39" s="21">
        <v>35</v>
      </c>
      <c r="C39" s="21">
        <v>-1.2178</v>
      </c>
      <c r="D39" s="21">
        <v>0.35820000000000002</v>
      </c>
      <c r="E39" s="15"/>
      <c r="H39">
        <v>3</v>
      </c>
      <c r="I39">
        <f>I28-0.5*I34</f>
        <v>0.26544999999999996</v>
      </c>
      <c r="J39">
        <f t="shared" ref="J39:L39" si="7">J28-0.5*J34</f>
        <v>0.10599999999999998</v>
      </c>
      <c r="K39">
        <f t="shared" si="7"/>
        <v>0.14579999999999999</v>
      </c>
      <c r="L39">
        <f t="shared" si="7"/>
        <v>0.20045000000000002</v>
      </c>
      <c r="M39">
        <f>M28-0.5*M34</f>
        <v>0.1788499999999999</v>
      </c>
      <c r="P39" s="15"/>
      <c r="Q39" s="15"/>
      <c r="R39" s="15"/>
      <c r="S39" s="15"/>
    </row>
    <row r="40" spans="1:19" x14ac:dyDescent="0.45">
      <c r="A40" s="20" t="s">
        <v>31</v>
      </c>
      <c r="B40" s="21">
        <v>36</v>
      </c>
      <c r="C40" s="21">
        <v>-1.0269999999999999</v>
      </c>
      <c r="D40" s="21">
        <v>0.13289999999999999</v>
      </c>
      <c r="E40" s="15"/>
      <c r="H40">
        <v>4</v>
      </c>
      <c r="I40">
        <f>I29-1.5*I35</f>
        <v>-1.0762499999999999</v>
      </c>
      <c r="J40">
        <f t="shared" ref="J40:L40" si="8">J29-1.5*J35</f>
        <v>-1.3203999999999998</v>
      </c>
      <c r="K40">
        <f t="shared" si="8"/>
        <v>-1.1886000000000001</v>
      </c>
      <c r="L40">
        <f t="shared" si="8"/>
        <v>-0.88965000000000005</v>
      </c>
      <c r="M40">
        <f>M29-1.5*M35</f>
        <v>-0.93405000000000005</v>
      </c>
      <c r="P40" s="15"/>
      <c r="Q40" s="15"/>
      <c r="R40" s="15"/>
      <c r="S40" s="15"/>
    </row>
    <row r="41" spans="1:19" x14ac:dyDescent="0.45">
      <c r="A41" s="20" t="s">
        <v>32</v>
      </c>
      <c r="B41" s="21">
        <v>37</v>
      </c>
      <c r="C41" s="21">
        <v>0.35449999999999998</v>
      </c>
      <c r="D41" s="21">
        <v>2.06E-2</v>
      </c>
      <c r="E41" s="15"/>
    </row>
    <row r="43" spans="1:19" x14ac:dyDescent="0.45">
      <c r="A43" s="7"/>
    </row>
  </sheetData>
  <mergeCells count="6">
    <mergeCell ref="P26:S29"/>
    <mergeCell ref="P5:S8"/>
    <mergeCell ref="P37:S40"/>
    <mergeCell ref="P16:S19"/>
    <mergeCell ref="E5:E11"/>
    <mergeCell ref="E38:E41"/>
  </mergeCells>
  <phoneticPr fontId="4" type="noConversion"/>
  <pageMargins left="0.7" right="0.7" top="0.75" bottom="0.75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selection activeCell="M18" sqref="M18"/>
    </sheetView>
  </sheetViews>
  <sheetFormatPr defaultRowHeight="14.25" x14ac:dyDescent="0.45"/>
  <cols>
    <col min="1" max="1" width="12.46484375" customWidth="1"/>
    <col min="7" max="7" width="12.9296875" customWidth="1"/>
  </cols>
  <sheetData>
    <row r="1" spans="1:11" x14ac:dyDescent="0.45">
      <c r="H1" t="s">
        <v>0</v>
      </c>
      <c r="I1" t="s">
        <v>1</v>
      </c>
      <c r="J1" t="s">
        <v>2</v>
      </c>
    </row>
    <row r="2" spans="1:11" x14ac:dyDescent="0.45">
      <c r="A2" t="s">
        <v>43</v>
      </c>
      <c r="B2" s="11" t="s">
        <v>50</v>
      </c>
      <c r="C2" t="s">
        <v>51</v>
      </c>
      <c r="D2" t="s">
        <v>52</v>
      </c>
      <c r="E2" t="s">
        <v>53</v>
      </c>
      <c r="G2" s="8" t="s">
        <v>5</v>
      </c>
      <c r="H2" s="9">
        <v>1</v>
      </c>
      <c r="I2" s="9">
        <v>-1.4782</v>
      </c>
      <c r="J2" s="9">
        <v>7.1099999999999997E-2</v>
      </c>
    </row>
    <row r="3" spans="1:11" x14ac:dyDescent="0.45">
      <c r="A3" t="s">
        <v>44</v>
      </c>
      <c r="B3" s="11">
        <f>I2</f>
        <v>-1.4782</v>
      </c>
      <c r="C3" s="11">
        <f>I2+I4</f>
        <v>-1.3767</v>
      </c>
      <c r="D3" s="11">
        <f>I2+I3</f>
        <v>-1.3875999999999999</v>
      </c>
      <c r="E3" s="11">
        <f>I2+I3+I4</f>
        <v>-1.2861</v>
      </c>
      <c r="G3" s="8" t="s">
        <v>73</v>
      </c>
      <c r="H3" s="9">
        <v>2</v>
      </c>
      <c r="I3" s="9">
        <v>9.06E-2</v>
      </c>
      <c r="J3" s="9">
        <v>3.1199999999999999E-2</v>
      </c>
    </row>
    <row r="4" spans="1:11" x14ac:dyDescent="0.45">
      <c r="A4" t="s">
        <v>45</v>
      </c>
      <c r="B4" s="11">
        <f>EXP(B3)</f>
        <v>0.22804780521732224</v>
      </c>
      <c r="C4" s="11">
        <f>EXP(C3)</f>
        <v>0.25241013363814879</v>
      </c>
      <c r="D4" s="11">
        <f t="shared" ref="D4:E4" si="0">EXP(D3)</f>
        <v>0.24967380327387553</v>
      </c>
      <c r="E4" s="11">
        <f t="shared" si="0"/>
        <v>0.27634643530222786</v>
      </c>
      <c r="G4" s="8" t="s">
        <v>74</v>
      </c>
      <c r="H4" s="9">
        <v>3</v>
      </c>
      <c r="I4" s="9">
        <v>0.10150000000000001</v>
      </c>
      <c r="J4" s="9">
        <v>3.1099999999999999E-2</v>
      </c>
    </row>
    <row r="5" spans="1:11" x14ac:dyDescent="0.45">
      <c r="A5" t="s">
        <v>46</v>
      </c>
      <c r="B5" s="11">
        <f>B4/(1+B4)</f>
        <v>0.18569945261777948</v>
      </c>
      <c r="C5" s="11">
        <f>C4/(1+C4)</f>
        <v>0.2015395171747118</v>
      </c>
      <c r="D5" s="11">
        <f>D4/(1+D4)</f>
        <v>0.19979117960205622</v>
      </c>
      <c r="E5" s="13">
        <f>E4/(1+E4)</f>
        <v>0.21651365778037482</v>
      </c>
    </row>
    <row r="6" spans="1:11" x14ac:dyDescent="0.45">
      <c r="A6" t="s">
        <v>47</v>
      </c>
      <c r="B6" s="11" t="s">
        <v>50</v>
      </c>
      <c r="C6" t="s">
        <v>51</v>
      </c>
      <c r="D6" t="s">
        <v>52</v>
      </c>
      <c r="E6" t="s">
        <v>53</v>
      </c>
      <c r="G6" s="8" t="s">
        <v>5</v>
      </c>
      <c r="H6" s="9">
        <v>4</v>
      </c>
      <c r="I6" s="9">
        <v>-0.82410000000000005</v>
      </c>
      <c r="J6" s="9">
        <v>7.4399999999999994E-2</v>
      </c>
    </row>
    <row r="7" spans="1:11" x14ac:dyDescent="0.45">
      <c r="A7" t="s">
        <v>44</v>
      </c>
      <c r="B7" s="11">
        <f>I6</f>
        <v>-0.82410000000000005</v>
      </c>
      <c r="C7" s="11">
        <f>I6+I8</f>
        <v>-0.54590000000000005</v>
      </c>
      <c r="D7" s="11">
        <f>I6+I7</f>
        <v>-1.3258000000000001</v>
      </c>
      <c r="E7" s="11">
        <f>I6+I7+I8</f>
        <v>-1.0476000000000001</v>
      </c>
      <c r="G7" s="8" t="s">
        <v>73</v>
      </c>
      <c r="H7" s="9">
        <v>5</v>
      </c>
      <c r="I7" s="9">
        <v>-0.50170000000000003</v>
      </c>
      <c r="J7" s="9">
        <v>4.2299999999999997E-2</v>
      </c>
    </row>
    <row r="8" spans="1:11" x14ac:dyDescent="0.45">
      <c r="A8" t="s">
        <v>45</v>
      </c>
      <c r="B8" s="11">
        <f>EXP(B7)</f>
        <v>0.43862958149659714</v>
      </c>
      <c r="C8" s="11">
        <f>EXP(C7)</f>
        <v>0.57932016050032775</v>
      </c>
      <c r="D8" s="11">
        <f>EXP(D7)</f>
        <v>0.26559040175592502</v>
      </c>
      <c r="E8" s="11">
        <f>EXP(E7)</f>
        <v>0.35077860833648011</v>
      </c>
      <c r="G8" s="8" t="s">
        <v>74</v>
      </c>
      <c r="H8" s="9">
        <v>6</v>
      </c>
      <c r="I8" s="9">
        <v>0.2782</v>
      </c>
      <c r="J8" s="9">
        <v>4.0300000000000002E-2</v>
      </c>
    </row>
    <row r="9" spans="1:11" x14ac:dyDescent="0.45">
      <c r="A9" t="s">
        <v>46</v>
      </c>
      <c r="B9" s="13">
        <f>B8/(1+B8)</f>
        <v>0.30489403744937149</v>
      </c>
      <c r="C9" s="11">
        <f>C8/(1+C8)</f>
        <v>0.36681616241560511</v>
      </c>
      <c r="D9" s="11">
        <f>D8/(1+D8)</f>
        <v>0.20985494310594921</v>
      </c>
      <c r="E9" s="11">
        <f>E8/(1+E8)</f>
        <v>0.25968623294121701</v>
      </c>
    </row>
    <row r="10" spans="1:11" x14ac:dyDescent="0.45">
      <c r="B10" s="11"/>
      <c r="G10" s="18" t="s">
        <v>5</v>
      </c>
      <c r="H10" s="9">
        <v>7</v>
      </c>
      <c r="I10" s="9">
        <v>3.8681000000000001</v>
      </c>
      <c r="J10" s="9">
        <v>0.14360000000000001</v>
      </c>
      <c r="K10" t="s">
        <v>87</v>
      </c>
    </row>
    <row r="11" spans="1:11" x14ac:dyDescent="0.45">
      <c r="A11" t="s">
        <v>48</v>
      </c>
      <c r="B11" s="11">
        <f>1-B5</f>
        <v>0.81430054738222046</v>
      </c>
      <c r="C11" s="11">
        <f>1-C5</f>
        <v>0.79846048282528814</v>
      </c>
      <c r="D11" s="11">
        <f t="shared" ref="D11" si="1">1-D5</f>
        <v>0.80020882039794383</v>
      </c>
      <c r="E11" s="11">
        <f>1-E5</f>
        <v>0.78348634221962521</v>
      </c>
    </row>
    <row r="12" spans="1:11" x14ac:dyDescent="0.45">
      <c r="A12" t="s">
        <v>49</v>
      </c>
      <c r="B12" s="11">
        <f>1-B9</f>
        <v>0.69510596255062851</v>
      </c>
      <c r="C12" s="11">
        <f t="shared" ref="C12:E12" si="2">1-C9</f>
        <v>0.63318383758439489</v>
      </c>
      <c r="D12" s="11">
        <f t="shared" si="2"/>
        <v>0.79014505689405079</v>
      </c>
      <c r="E12" s="11">
        <f t="shared" si="2"/>
        <v>0.74031376705878293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e2_e5_tutz0_latind</vt:lpstr>
      <vt:lpstr>parameters_all_obs</vt:lpstr>
      <vt:lpstr>parameters for latent 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</dc:creator>
  <cp:lastModifiedBy>sabrina giordano</cp:lastModifiedBy>
  <cp:lastPrinted>2019-04-03T16:21:15Z</cp:lastPrinted>
  <dcterms:created xsi:type="dcterms:W3CDTF">2019-03-25T09:32:01Z</dcterms:created>
  <dcterms:modified xsi:type="dcterms:W3CDTF">2026-02-06T11:46:11Z</dcterms:modified>
</cp:coreProperties>
</file>